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040" windowHeight="9660"/>
  </bookViews>
  <sheets>
    <sheet name="Input" sheetId="1" r:id="rId1"/>
    <sheet name="Capacity" sheetId="2" r:id="rId2"/>
    <sheet name="Past Sprints" sheetId="3" r:id="rId3"/>
  </sheets>
  <calcPr calcId="125725" concurrentCalc="0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2"/>
  <c r="C41"/>
  <c r="C30"/>
  <c r="C31"/>
  <c r="C32"/>
  <c r="C33"/>
  <c r="C34"/>
  <c r="C35"/>
  <c r="C36"/>
  <c r="C37"/>
  <c r="C38"/>
  <c r="C39"/>
  <c r="H22" i="3"/>
  <c r="H3"/>
  <c r="H24"/>
  <c r="H4"/>
  <c r="H5"/>
  <c r="H6"/>
  <c r="H7"/>
  <c r="H8"/>
  <c r="H9"/>
  <c r="H10"/>
  <c r="H11"/>
  <c r="H12"/>
  <c r="H13"/>
  <c r="H14"/>
  <c r="H15"/>
  <c r="H16"/>
  <c r="H17"/>
  <c r="H18"/>
  <c r="H19"/>
  <c r="H20"/>
  <c r="H21"/>
  <c r="H23"/>
  <c r="H25"/>
  <c r="H26"/>
  <c r="H27"/>
  <c r="H28"/>
  <c r="H29"/>
  <c r="H30"/>
  <c r="E2" i="2"/>
  <c r="F2"/>
  <c r="C25"/>
  <c r="C26"/>
  <c r="C27"/>
  <c r="C28"/>
  <c r="C29"/>
  <c r="C17"/>
  <c r="C15"/>
  <c r="C6"/>
  <c r="C7"/>
  <c r="C8"/>
  <c r="C9"/>
  <c r="C10"/>
  <c r="C11"/>
  <c r="C12"/>
  <c r="C13"/>
  <c r="C14"/>
  <c r="C2"/>
  <c r="D2"/>
  <c r="G21" i="1"/>
  <c r="G22"/>
  <c r="G23"/>
  <c r="G24"/>
  <c r="G25"/>
  <c r="G26"/>
  <c r="G27"/>
  <c r="G28"/>
  <c r="G29"/>
  <c r="G30"/>
  <c r="C24" i="2"/>
  <c r="C19"/>
  <c r="C20"/>
  <c r="C21"/>
  <c r="C22"/>
  <c r="C23"/>
  <c r="C16"/>
  <c r="C18"/>
  <c r="C5"/>
  <c r="C6" i="1"/>
  <c r="G20"/>
  <c r="G18"/>
  <c r="G19"/>
  <c r="G12"/>
  <c r="G15"/>
  <c r="G14"/>
  <c r="G11"/>
  <c r="G17"/>
  <c r="G13"/>
  <c r="G16"/>
</calcChain>
</file>

<file path=xl/sharedStrings.xml><?xml version="1.0" encoding="utf-8"?>
<sst xmlns="http://schemas.openxmlformats.org/spreadsheetml/2006/main" count="60" uniqueCount="46">
  <si>
    <t>Team Capacity Planner</t>
  </si>
  <si>
    <t>Sprint Start</t>
  </si>
  <si>
    <t>Sprint End</t>
  </si>
  <si>
    <t>Name</t>
  </si>
  <si>
    <t>Sprint Duration</t>
  </si>
  <si>
    <t>%(Please provide approximate percentage)</t>
  </si>
  <si>
    <t>Allocation</t>
  </si>
  <si>
    <t>Learning</t>
  </si>
  <si>
    <t>Others</t>
  </si>
  <si>
    <t>In Hours</t>
  </si>
  <si>
    <t>Team Member 1</t>
  </si>
  <si>
    <t>Team Member 2</t>
  </si>
  <si>
    <t>Team Member 3</t>
  </si>
  <si>
    <t>Team Member 4</t>
  </si>
  <si>
    <t>Team Member 5</t>
  </si>
  <si>
    <t>Team Member 6</t>
  </si>
  <si>
    <t>Team Member 7</t>
  </si>
  <si>
    <t>Team Member 8</t>
  </si>
  <si>
    <t>Team Member 9</t>
  </si>
  <si>
    <t>Team Member 10</t>
  </si>
  <si>
    <t>Daily hours available</t>
  </si>
  <si>
    <t>Team</t>
  </si>
  <si>
    <t>Planning &amp; Standup</t>
  </si>
  <si>
    <t>Day</t>
  </si>
  <si>
    <t>Availability</t>
  </si>
  <si>
    <t>Default</t>
  </si>
  <si>
    <t>Standup &amp; Planning</t>
  </si>
  <si>
    <t>Capacity</t>
  </si>
  <si>
    <t>Sprint Date</t>
  </si>
  <si>
    <t>Days</t>
  </si>
  <si>
    <t>2. Change individual allocations</t>
  </si>
  <si>
    <t>Sprint Name</t>
  </si>
  <si>
    <t>Start Date</t>
  </si>
  <si>
    <t>End Date</t>
  </si>
  <si>
    <t xml:space="preserve">Committed </t>
  </si>
  <si>
    <t>Actual</t>
  </si>
  <si>
    <t>Available Hours</t>
  </si>
  <si>
    <t>Hours/Story Point</t>
  </si>
  <si>
    <t>Hours per story points</t>
  </si>
  <si>
    <t>Provide previous sprint data</t>
  </si>
  <si>
    <t>Probable
Capacity</t>
  </si>
  <si>
    <t>The probable capacity (Number of story points which can be committed for this sprint) is populated</t>
  </si>
  <si>
    <t>Optional (If you have previous sprint data)</t>
  </si>
  <si>
    <t>1. Enter all the team members name. Set the default</t>
  </si>
  <si>
    <t>4. Change individual plans (Change availability hours, vacations, trainings etc) in Capacity</t>
  </si>
  <si>
    <r>
      <t xml:space="preserve">3. Click on </t>
    </r>
    <r>
      <rPr>
        <b/>
        <sz val="11"/>
        <color theme="1"/>
        <rFont val="Calibri"/>
        <family val="2"/>
        <scheme val="minor"/>
      </rPr>
      <t>Plan Button</t>
    </r>
  </si>
</sst>
</file>

<file path=xl/styles.xml><?xml version="1.0" encoding="utf-8"?>
<styleSheet xmlns="http://schemas.openxmlformats.org/spreadsheetml/2006/main">
  <numFmts count="2">
    <numFmt numFmtId="164" formatCode="m/d/yy;@"/>
    <numFmt numFmtId="165" formatCode="[$-409]d\-mmm;@"/>
  </numFmts>
  <fonts count="5">
    <font>
      <sz val="11"/>
      <color theme="1"/>
      <name val="Calibri"/>
      <family val="2"/>
      <scheme val="minor"/>
    </font>
    <font>
      <b/>
      <sz val="28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D2EFFF"/>
      </left>
      <right style="thin">
        <color rgb="FFD2EFFF"/>
      </right>
      <top style="thin">
        <color rgb="FFD2EFFF"/>
      </top>
      <bottom style="thin">
        <color rgb="FFD2EFFF"/>
      </bottom>
      <diagonal/>
    </border>
    <border>
      <left style="thin">
        <color rgb="FF00FF00"/>
      </left>
      <right style="thin">
        <color rgb="FF00FF00"/>
      </right>
      <top style="thin">
        <color rgb="FF00FF00"/>
      </top>
      <bottom style="thin">
        <color rgb="FF00FF00"/>
      </bottom>
      <diagonal/>
    </border>
    <border>
      <left/>
      <right style="thin">
        <color rgb="FFD2EFFF"/>
      </right>
      <top style="thin">
        <color rgb="FFD2EFFF"/>
      </top>
      <bottom style="thin">
        <color rgb="FFD2EFFF"/>
      </bottom>
      <diagonal/>
    </border>
    <border>
      <left style="thin">
        <color rgb="FFD2EFFF"/>
      </left>
      <right style="thin">
        <color rgb="FFD2EFFF"/>
      </right>
      <top/>
      <bottom style="thin">
        <color rgb="FFD2EF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2" fillId="0" borderId="1" xfId="0" applyFont="1" applyBorder="1"/>
    <xf numFmtId="9" fontId="0" fillId="0" borderId="1" xfId="0" applyNumberFormat="1" applyBorder="1"/>
    <xf numFmtId="164" fontId="0" fillId="0" borderId="1" xfId="0" applyNumberFormat="1" applyBorder="1"/>
    <xf numFmtId="0" fontId="2" fillId="2" borderId="1" xfId="0" applyFont="1" applyFill="1" applyBorder="1"/>
    <xf numFmtId="0" fontId="2" fillId="0" borderId="1" xfId="0" applyFont="1" applyBorder="1" applyAlignment="1">
      <alignment wrapText="1"/>
    </xf>
    <xf numFmtId="1" fontId="0" fillId="0" borderId="1" xfId="0" applyNumberFormat="1" applyBorder="1"/>
    <xf numFmtId="9" fontId="0" fillId="0" borderId="1" xfId="0" quotePrefix="1" applyNumberFormat="1" applyBorder="1"/>
    <xf numFmtId="0" fontId="0" fillId="0" borderId="1" xfId="0" applyFill="1" applyBorder="1" applyAlignment="1" applyProtection="1">
      <alignment horizontal="center"/>
    </xf>
    <xf numFmtId="0" fontId="0" fillId="0" borderId="7" xfId="0" applyBorder="1" applyProtection="1"/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1" xfId="0" applyBorder="1" applyProtection="1">
      <protection locked="0"/>
    </xf>
    <xf numFmtId="0" fontId="2" fillId="0" borderId="10" xfId="0" applyFont="1" applyBorder="1" applyProtection="1"/>
    <xf numFmtId="0" fontId="2" fillId="0" borderId="8" xfId="0" applyFont="1" applyBorder="1" applyProtection="1"/>
    <xf numFmtId="0" fontId="2" fillId="0" borderId="9" xfId="0" applyFont="1" applyBorder="1" applyProtection="1"/>
    <xf numFmtId="0" fontId="2" fillId="0" borderId="1" xfId="0" applyFont="1" applyBorder="1" applyAlignment="1" applyProtection="1">
      <alignment horizontal="center" vertical="top" wrapText="1"/>
    </xf>
    <xf numFmtId="14" fontId="2" fillId="0" borderId="4" xfId="0" applyNumberFormat="1" applyFont="1" applyFill="1" applyBorder="1" applyAlignment="1" applyProtection="1">
      <alignment horizontal="left"/>
    </xf>
    <xf numFmtId="165" fontId="0" fillId="0" borderId="4" xfId="0" applyNumberFormat="1" applyFill="1" applyBorder="1" applyAlignment="1" applyProtection="1">
      <alignment horizontal="left"/>
    </xf>
    <xf numFmtId="14" fontId="0" fillId="0" borderId="4" xfId="0" applyNumberFormat="1" applyFill="1" applyBorder="1" applyAlignment="1" applyProtection="1">
      <alignment horizontal="left"/>
    </xf>
    <xf numFmtId="165" fontId="0" fillId="0" borderId="3" xfId="0" applyNumberFormat="1" applyFill="1" applyBorder="1" applyAlignment="1" applyProtection="1">
      <alignment horizontal="left"/>
    </xf>
    <xf numFmtId="14" fontId="0" fillId="0" borderId="3" xfId="0" applyNumberFormat="1" applyFill="1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5" xfId="0" applyFill="1" applyBorder="1" applyAlignment="1" applyProtection="1">
      <alignment horizontal="left"/>
    </xf>
    <xf numFmtId="0" fontId="0" fillId="0" borderId="3" xfId="0" applyFill="1" applyBorder="1" applyAlignment="1" applyProtection="1">
      <alignment horizontal="left"/>
    </xf>
    <xf numFmtId="1" fontId="0" fillId="0" borderId="6" xfId="0" applyNumberFormat="1" applyFill="1" applyBorder="1" applyAlignment="1" applyProtection="1">
      <alignment horizontal="left"/>
    </xf>
    <xf numFmtId="0" fontId="0" fillId="0" borderId="6" xfId="0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left"/>
    </xf>
    <xf numFmtId="0" fontId="2" fillId="0" borderId="0" xfId="0" applyFont="1" applyAlignment="1" applyProtection="1">
      <alignment horizontal="left"/>
    </xf>
    <xf numFmtId="0" fontId="0" fillId="0" borderId="4" xfId="0" applyFill="1" applyBorder="1" applyAlignment="1" applyProtection="1">
      <alignment horizontal="left"/>
    </xf>
    <xf numFmtId="165" fontId="0" fillId="0" borderId="0" xfId="0" applyNumberFormat="1" applyAlignment="1" applyProtection="1">
      <alignment horizontal="left"/>
    </xf>
    <xf numFmtId="0" fontId="2" fillId="0" borderId="0" xfId="0" applyFont="1"/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 textRotation="90"/>
    </xf>
    <xf numFmtId="0" fontId="2" fillId="0" borderId="1" xfId="0" applyFont="1" applyFill="1" applyBorder="1" applyAlignment="1" applyProtection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J30"/>
  <sheetViews>
    <sheetView tabSelected="1" topLeftCell="A2" workbookViewId="0">
      <selection activeCell="I21" sqref="I21"/>
    </sheetView>
  </sheetViews>
  <sheetFormatPr defaultRowHeight="15"/>
  <cols>
    <col min="2" max="2" width="18.42578125" bestFit="1" customWidth="1"/>
    <col min="3" max="3" width="9.42578125" bestFit="1" customWidth="1"/>
    <col min="4" max="4" width="10.140625" customWidth="1"/>
    <col min="5" max="5" width="8.140625" bestFit="1" customWidth="1"/>
    <col min="6" max="6" width="8.85546875" customWidth="1"/>
    <col min="7" max="7" width="9.85546875" bestFit="1" customWidth="1"/>
    <col min="8" max="8" width="4.42578125" customWidth="1"/>
    <col min="9" max="9" width="18.5703125" customWidth="1"/>
  </cols>
  <sheetData>
    <row r="2" spans="2:10" ht="36">
      <c r="B2" s="34" t="s">
        <v>0</v>
      </c>
      <c r="C2" s="34"/>
      <c r="D2" s="34"/>
      <c r="E2" s="34"/>
      <c r="F2" s="34"/>
    </row>
    <row r="4" spans="2:10">
      <c r="B4" s="2" t="s">
        <v>1</v>
      </c>
      <c r="C4" s="4">
        <v>42737</v>
      </c>
      <c r="H4" s="36" t="s">
        <v>25</v>
      </c>
      <c r="I4" s="6" t="s">
        <v>6</v>
      </c>
      <c r="J4" s="3">
        <v>1</v>
      </c>
    </row>
    <row r="5" spans="2:10" ht="30">
      <c r="B5" s="2" t="s">
        <v>2</v>
      </c>
      <c r="C5" s="4">
        <v>42759</v>
      </c>
      <c r="H5" s="36"/>
      <c r="I5" s="6" t="s">
        <v>22</v>
      </c>
      <c r="J5" s="3">
        <v>0.1</v>
      </c>
    </row>
    <row r="6" spans="2:10">
      <c r="B6" s="2" t="s">
        <v>4</v>
      </c>
      <c r="C6" s="7">
        <f>DATEDIF(C4,C5,"d")+1</f>
        <v>23</v>
      </c>
      <c r="H6" s="36"/>
      <c r="I6" s="6" t="s">
        <v>7</v>
      </c>
      <c r="J6" s="3">
        <v>0.05</v>
      </c>
    </row>
    <row r="7" spans="2:10">
      <c r="B7" s="2" t="s">
        <v>20</v>
      </c>
      <c r="C7" s="1">
        <v>8</v>
      </c>
      <c r="H7" s="36"/>
      <c r="I7" s="6" t="s">
        <v>8</v>
      </c>
      <c r="J7" s="3">
        <v>0.05</v>
      </c>
    </row>
    <row r="9" spans="2:10">
      <c r="B9" s="5" t="s">
        <v>21</v>
      </c>
      <c r="C9" s="35" t="s">
        <v>5</v>
      </c>
      <c r="D9" s="35"/>
      <c r="E9" s="35"/>
      <c r="F9" s="35"/>
      <c r="G9" s="5" t="s">
        <v>9</v>
      </c>
    </row>
    <row r="10" spans="2:10" ht="45">
      <c r="B10" s="2" t="s">
        <v>3</v>
      </c>
      <c r="C10" s="6" t="s">
        <v>6</v>
      </c>
      <c r="D10" s="6" t="s">
        <v>26</v>
      </c>
      <c r="E10" s="6" t="s">
        <v>7</v>
      </c>
      <c r="F10" s="6" t="s">
        <v>8</v>
      </c>
      <c r="G10" s="2" t="s">
        <v>24</v>
      </c>
    </row>
    <row r="11" spans="2:10">
      <c r="B11" s="1" t="s">
        <v>10</v>
      </c>
      <c r="C11" s="8">
        <v>1</v>
      </c>
      <c r="D11" s="3">
        <v>0.1</v>
      </c>
      <c r="E11" s="3">
        <v>0.05</v>
      </c>
      <c r="F11" s="3">
        <v>0.05</v>
      </c>
      <c r="G11" s="7">
        <f>IF(TRIM(B11)="","",(C11-D11-E11-F11)*(C$6*C$7))</f>
        <v>147.19999999999999</v>
      </c>
      <c r="J11" t="s">
        <v>43</v>
      </c>
    </row>
    <row r="12" spans="2:10">
      <c r="B12" s="1" t="s">
        <v>11</v>
      </c>
      <c r="C12" s="8">
        <v>1</v>
      </c>
      <c r="D12" s="3">
        <v>0.1</v>
      </c>
      <c r="E12" s="3">
        <v>0.05</v>
      </c>
      <c r="F12" s="3">
        <v>0.05</v>
      </c>
      <c r="G12" s="7">
        <f t="shared" ref="G12:G30" si="0">IF(TRIM(B12)="","",(C12-D12-E12-F12)*(C$6*C$7))</f>
        <v>147.19999999999999</v>
      </c>
      <c r="J12" t="s">
        <v>30</v>
      </c>
    </row>
    <row r="13" spans="2:10">
      <c r="B13" s="1" t="s">
        <v>12</v>
      </c>
      <c r="C13" s="8">
        <v>1</v>
      </c>
      <c r="D13" s="3">
        <v>0.1</v>
      </c>
      <c r="E13" s="3">
        <v>0.05</v>
      </c>
      <c r="F13" s="3">
        <v>0.05</v>
      </c>
      <c r="G13" s="7">
        <f t="shared" si="0"/>
        <v>147.19999999999999</v>
      </c>
      <c r="J13" t="s">
        <v>45</v>
      </c>
    </row>
    <row r="14" spans="2:10">
      <c r="B14" s="1" t="s">
        <v>13</v>
      </c>
      <c r="C14" s="8">
        <v>1</v>
      </c>
      <c r="D14" s="3">
        <v>0.1</v>
      </c>
      <c r="E14" s="3">
        <v>0.05</v>
      </c>
      <c r="F14" s="3">
        <v>0.05</v>
      </c>
      <c r="G14" s="7">
        <f t="shared" si="0"/>
        <v>147.19999999999999</v>
      </c>
      <c r="J14" t="s">
        <v>44</v>
      </c>
    </row>
    <row r="15" spans="2:10">
      <c r="B15" s="1" t="s">
        <v>14</v>
      </c>
      <c r="C15" s="8">
        <v>1</v>
      </c>
      <c r="D15" s="3">
        <v>0.1</v>
      </c>
      <c r="E15" s="3">
        <v>0.05</v>
      </c>
      <c r="F15" s="3">
        <v>0.05</v>
      </c>
      <c r="G15" s="7">
        <f t="shared" si="0"/>
        <v>147.19999999999999</v>
      </c>
    </row>
    <row r="16" spans="2:10">
      <c r="B16" s="1" t="s">
        <v>15</v>
      </c>
      <c r="C16" s="8">
        <v>1</v>
      </c>
      <c r="D16" s="3">
        <v>0.1</v>
      </c>
      <c r="E16" s="3">
        <v>0.05</v>
      </c>
      <c r="F16" s="3">
        <v>0.05</v>
      </c>
      <c r="G16" s="7">
        <f t="shared" si="0"/>
        <v>147.19999999999999</v>
      </c>
      <c r="J16" s="33" t="s">
        <v>42</v>
      </c>
    </row>
    <row r="17" spans="2:10">
      <c r="B17" s="1" t="s">
        <v>16</v>
      </c>
      <c r="C17" s="8">
        <v>1</v>
      </c>
      <c r="D17" s="3">
        <v>0.1</v>
      </c>
      <c r="E17" s="3">
        <v>0.05</v>
      </c>
      <c r="F17" s="3">
        <v>0.05</v>
      </c>
      <c r="G17" s="7">
        <f t="shared" si="0"/>
        <v>147.19999999999999</v>
      </c>
      <c r="J17" t="s">
        <v>39</v>
      </c>
    </row>
    <row r="18" spans="2:10">
      <c r="B18" s="1" t="s">
        <v>17</v>
      </c>
      <c r="C18" s="8">
        <v>1</v>
      </c>
      <c r="D18" s="3">
        <v>0.1</v>
      </c>
      <c r="E18" s="3">
        <v>0.05</v>
      </c>
      <c r="F18" s="3">
        <v>0.05</v>
      </c>
      <c r="G18" s="7">
        <f t="shared" si="0"/>
        <v>147.19999999999999</v>
      </c>
      <c r="J18" t="s">
        <v>41</v>
      </c>
    </row>
    <row r="19" spans="2:10">
      <c r="B19" s="1" t="s">
        <v>18</v>
      </c>
      <c r="C19" s="8">
        <v>1</v>
      </c>
      <c r="D19" s="3">
        <v>0.1</v>
      </c>
      <c r="E19" s="3">
        <v>0.05</v>
      </c>
      <c r="F19" s="3">
        <v>0.05</v>
      </c>
      <c r="G19" s="7">
        <f t="shared" si="0"/>
        <v>147.19999999999999</v>
      </c>
    </row>
    <row r="20" spans="2:10">
      <c r="B20" s="1" t="s">
        <v>19</v>
      </c>
      <c r="C20" s="8">
        <v>1</v>
      </c>
      <c r="D20" s="3">
        <v>0.1</v>
      </c>
      <c r="E20" s="3">
        <v>0.05</v>
      </c>
      <c r="F20" s="3">
        <v>0.05</v>
      </c>
      <c r="G20" s="7">
        <f t="shared" si="0"/>
        <v>147.19999999999999</v>
      </c>
    </row>
    <row r="21" spans="2:10">
      <c r="B21" s="1"/>
      <c r="C21" s="8"/>
      <c r="D21" s="3"/>
      <c r="E21" s="3"/>
      <c r="F21" s="3"/>
      <c r="G21" s="7" t="str">
        <f t="shared" si="0"/>
        <v/>
      </c>
    </row>
    <row r="22" spans="2:10">
      <c r="B22" s="1"/>
      <c r="C22" s="8"/>
      <c r="D22" s="3"/>
      <c r="E22" s="3"/>
      <c r="F22" s="3"/>
      <c r="G22" s="7" t="str">
        <f t="shared" si="0"/>
        <v/>
      </c>
    </row>
    <row r="23" spans="2:10">
      <c r="B23" s="1"/>
      <c r="C23" s="8"/>
      <c r="D23" s="3"/>
      <c r="E23" s="3"/>
      <c r="F23" s="3"/>
      <c r="G23" s="7" t="str">
        <f t="shared" si="0"/>
        <v/>
      </c>
    </row>
    <row r="24" spans="2:10">
      <c r="B24" s="1"/>
      <c r="C24" s="8"/>
      <c r="D24" s="3"/>
      <c r="E24" s="3"/>
      <c r="F24" s="3"/>
      <c r="G24" s="7" t="str">
        <f t="shared" si="0"/>
        <v/>
      </c>
    </row>
    <row r="25" spans="2:10">
      <c r="B25" s="1"/>
      <c r="C25" s="8"/>
      <c r="D25" s="3"/>
      <c r="E25" s="3"/>
      <c r="F25" s="3"/>
      <c r="G25" s="7" t="str">
        <f t="shared" si="0"/>
        <v/>
      </c>
    </row>
    <row r="26" spans="2:10">
      <c r="B26" s="1"/>
      <c r="C26" s="8"/>
      <c r="D26" s="3"/>
      <c r="E26" s="3"/>
      <c r="F26" s="3"/>
      <c r="G26" s="7" t="str">
        <f t="shared" si="0"/>
        <v/>
      </c>
    </row>
    <row r="27" spans="2:10">
      <c r="B27" s="1"/>
      <c r="C27" s="8"/>
      <c r="D27" s="3"/>
      <c r="E27" s="3"/>
      <c r="F27" s="3"/>
      <c r="G27" s="7" t="str">
        <f t="shared" si="0"/>
        <v/>
      </c>
    </row>
    <row r="28" spans="2:10">
      <c r="B28" s="1"/>
      <c r="C28" s="8"/>
      <c r="D28" s="3"/>
      <c r="E28" s="3"/>
      <c r="F28" s="3"/>
      <c r="G28" s="7" t="str">
        <f t="shared" si="0"/>
        <v/>
      </c>
    </row>
    <row r="29" spans="2:10">
      <c r="B29" s="1"/>
      <c r="C29" s="8"/>
      <c r="D29" s="3"/>
      <c r="E29" s="3"/>
      <c r="F29" s="3"/>
      <c r="G29" s="7" t="str">
        <f t="shared" si="0"/>
        <v/>
      </c>
    </row>
    <row r="30" spans="2:10">
      <c r="B30" s="1"/>
      <c r="C30" s="8"/>
      <c r="D30" s="3"/>
      <c r="E30" s="3"/>
      <c r="F30" s="3"/>
      <c r="G30" s="7" t="str">
        <f t="shared" si="0"/>
        <v/>
      </c>
    </row>
  </sheetData>
  <mergeCells count="3">
    <mergeCell ref="B2:F2"/>
    <mergeCell ref="C9:F9"/>
    <mergeCell ref="H4:H7"/>
  </mergeCells>
  <dataValidations count="2">
    <dataValidation type="date" operator="greaterThan" allowBlank="1" showInputMessage="1" showErrorMessage="1" sqref="C5">
      <formula1>C4</formula1>
    </dataValidation>
    <dataValidation type="list" allowBlank="1" showInputMessage="1" showErrorMessage="1" sqref="C11:F30">
      <formula1>"0%,5%,10%,15%,20%,25%,30%,35%,40%,45%,50%,55%,60%,65%,70%,75%,80%,85%,90%,95%,100%"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Z120"/>
  <sheetViews>
    <sheetView workbookViewId="0">
      <selection activeCell="F1" sqref="F1"/>
    </sheetView>
  </sheetViews>
  <sheetFormatPr defaultColWidth="8.85546875" defaultRowHeight="15"/>
  <cols>
    <col min="1" max="1" width="10" style="23" customWidth="1"/>
    <col min="2" max="2" width="10.28515625" style="23" bestFit="1" customWidth="1"/>
    <col min="3" max="3" width="8.7109375" style="23" customWidth="1"/>
    <col min="4" max="12" width="14.42578125" style="23" bestFit="1" customWidth="1"/>
    <col min="13" max="13" width="15.42578125" style="23" bestFit="1" customWidth="1"/>
    <col min="14" max="16384" width="8.85546875" style="23"/>
  </cols>
  <sheetData>
    <row r="1" spans="2:26" ht="30">
      <c r="B1" s="37" t="s">
        <v>27</v>
      </c>
      <c r="C1" s="17" t="s">
        <v>36</v>
      </c>
      <c r="D1" s="17" t="s">
        <v>29</v>
      </c>
      <c r="E1" s="17" t="s">
        <v>38</v>
      </c>
      <c r="F1" s="17" t="s">
        <v>40</v>
      </c>
    </row>
    <row r="2" spans="2:26">
      <c r="B2" s="37"/>
      <c r="C2" s="9">
        <f>SUM(D5:Z40)</f>
        <v>1020</v>
      </c>
      <c r="D2" s="9">
        <f>C2/8</f>
        <v>127.5</v>
      </c>
      <c r="E2" s="9" t="str">
        <f>IF('Past Sprints'!H3&lt;&gt;"", AVERAGE('Past Sprints'!H3:H100), "NA")</f>
        <v>NA</v>
      </c>
      <c r="F2" s="9" t="str">
        <f>IF(E2&lt;&gt;"NA", C2/E2,"NA")</f>
        <v>NA</v>
      </c>
      <c r="G2" s="24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</row>
    <row r="3" spans="2:26">
      <c r="B3" s="26"/>
      <c r="C3" s="27"/>
      <c r="D3" s="27"/>
      <c r="E3" s="27"/>
      <c r="F3" s="27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</row>
    <row r="4" spans="2:26" s="30" customFormat="1">
      <c r="B4" s="18" t="s">
        <v>28</v>
      </c>
      <c r="C4" s="18" t="s">
        <v>23</v>
      </c>
      <c r="D4" s="28" t="s">
        <v>10</v>
      </c>
      <c r="E4" s="28" t="s">
        <v>11</v>
      </c>
      <c r="F4" s="28" t="s">
        <v>12</v>
      </c>
      <c r="G4" s="28" t="s">
        <v>13</v>
      </c>
      <c r="H4" s="28" t="s">
        <v>14</v>
      </c>
      <c r="I4" s="28" t="s">
        <v>15</v>
      </c>
      <c r="J4" s="28" t="s">
        <v>16</v>
      </c>
      <c r="K4" s="28" t="s">
        <v>17</v>
      </c>
      <c r="L4" s="28" t="s">
        <v>18</v>
      </c>
      <c r="M4" s="28" t="s">
        <v>19</v>
      </c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2:26">
      <c r="B5" s="19">
        <v>42737</v>
      </c>
      <c r="C5" s="20" t="str">
        <f>IF(TRIM(B5)="","",TEXT(B5,"ddd"))</f>
        <v>Mon</v>
      </c>
      <c r="D5" s="31">
        <v>6</v>
      </c>
      <c r="E5" s="31">
        <v>6</v>
      </c>
      <c r="F5" s="31">
        <v>6</v>
      </c>
      <c r="G5" s="31">
        <v>6</v>
      </c>
      <c r="H5" s="31">
        <v>6</v>
      </c>
      <c r="I5" s="31">
        <v>6</v>
      </c>
      <c r="J5" s="31">
        <v>6</v>
      </c>
      <c r="K5" s="31">
        <v>6</v>
      </c>
      <c r="L5" s="31">
        <v>6</v>
      </c>
      <c r="M5" s="31">
        <v>6</v>
      </c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spans="2:26">
      <c r="B6" s="19">
        <v>42738</v>
      </c>
      <c r="C6" s="20" t="str">
        <f t="shared" ref="C6:C14" si="0">IF(TRIM(B6)="","",TEXT(B6,"ddd"))</f>
        <v>Tue</v>
      </c>
      <c r="D6" s="31">
        <v>6</v>
      </c>
      <c r="E6" s="31">
        <v>6</v>
      </c>
      <c r="F6" s="31">
        <v>6</v>
      </c>
      <c r="G6" s="31">
        <v>6</v>
      </c>
      <c r="H6" s="31">
        <v>6</v>
      </c>
      <c r="I6" s="31">
        <v>6</v>
      </c>
      <c r="J6" s="31">
        <v>6</v>
      </c>
      <c r="K6" s="31">
        <v>6</v>
      </c>
      <c r="L6" s="31">
        <v>6</v>
      </c>
      <c r="M6" s="31">
        <v>6</v>
      </c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</row>
    <row r="7" spans="2:26">
      <c r="B7" s="19">
        <v>42739</v>
      </c>
      <c r="C7" s="20" t="str">
        <f t="shared" si="0"/>
        <v>Wed</v>
      </c>
      <c r="D7" s="31">
        <v>6</v>
      </c>
      <c r="E7" s="31">
        <v>6</v>
      </c>
      <c r="F7" s="31">
        <v>6</v>
      </c>
      <c r="G7" s="31">
        <v>6</v>
      </c>
      <c r="H7" s="31">
        <v>6</v>
      </c>
      <c r="I7" s="31">
        <v>6</v>
      </c>
      <c r="J7" s="31">
        <v>6</v>
      </c>
      <c r="K7" s="31">
        <v>6</v>
      </c>
      <c r="L7" s="31">
        <v>6</v>
      </c>
      <c r="M7" s="31">
        <v>6</v>
      </c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</row>
    <row r="8" spans="2:26">
      <c r="B8" s="19">
        <v>42740</v>
      </c>
      <c r="C8" s="20" t="str">
        <f t="shared" si="0"/>
        <v>Thu</v>
      </c>
      <c r="D8" s="31">
        <v>6</v>
      </c>
      <c r="E8" s="31">
        <v>6</v>
      </c>
      <c r="F8" s="31">
        <v>6</v>
      </c>
      <c r="G8" s="31">
        <v>6</v>
      </c>
      <c r="H8" s="31">
        <v>6</v>
      </c>
      <c r="I8" s="31">
        <v>6</v>
      </c>
      <c r="J8" s="31">
        <v>6</v>
      </c>
      <c r="K8" s="31">
        <v>6</v>
      </c>
      <c r="L8" s="31">
        <v>6</v>
      </c>
      <c r="M8" s="31">
        <v>6</v>
      </c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2:26">
      <c r="B9" s="19">
        <v>42741</v>
      </c>
      <c r="C9" s="20" t="str">
        <f t="shared" si="0"/>
        <v>Fri</v>
      </c>
      <c r="D9" s="31">
        <v>6</v>
      </c>
      <c r="E9" s="31">
        <v>6</v>
      </c>
      <c r="F9" s="31">
        <v>6</v>
      </c>
      <c r="G9" s="31">
        <v>6</v>
      </c>
      <c r="H9" s="31">
        <v>6</v>
      </c>
      <c r="I9" s="31">
        <v>6</v>
      </c>
      <c r="J9" s="31">
        <v>6</v>
      </c>
      <c r="K9" s="31">
        <v>6</v>
      </c>
      <c r="L9" s="31">
        <v>6</v>
      </c>
      <c r="M9" s="31">
        <v>6</v>
      </c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2:26">
      <c r="B10" s="19">
        <v>42742</v>
      </c>
      <c r="C10" s="20" t="str">
        <f t="shared" si="0"/>
        <v>Sat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31">
        <v>0</v>
      </c>
      <c r="J10" s="31">
        <v>0</v>
      </c>
      <c r="K10" s="31">
        <v>0</v>
      </c>
      <c r="L10" s="31">
        <v>0</v>
      </c>
      <c r="M10" s="31">
        <v>0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2:26">
      <c r="B11" s="19">
        <v>42743</v>
      </c>
      <c r="C11" s="20" t="str">
        <f t="shared" si="0"/>
        <v>Sun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31">
        <v>0</v>
      </c>
      <c r="J11" s="31">
        <v>0</v>
      </c>
      <c r="K11" s="31">
        <v>0</v>
      </c>
      <c r="L11" s="31">
        <v>0</v>
      </c>
      <c r="M11" s="31">
        <v>0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2:26">
      <c r="B12" s="19">
        <v>42744</v>
      </c>
      <c r="C12" s="20" t="str">
        <f t="shared" si="0"/>
        <v>Mon</v>
      </c>
      <c r="D12" s="31">
        <v>6</v>
      </c>
      <c r="E12" s="31">
        <v>6</v>
      </c>
      <c r="F12" s="31">
        <v>6</v>
      </c>
      <c r="G12" s="31">
        <v>6</v>
      </c>
      <c r="H12" s="31">
        <v>6</v>
      </c>
      <c r="I12" s="31">
        <v>6</v>
      </c>
      <c r="J12" s="31">
        <v>6</v>
      </c>
      <c r="K12" s="31">
        <v>6</v>
      </c>
      <c r="L12" s="31">
        <v>6</v>
      </c>
      <c r="M12" s="31">
        <v>6</v>
      </c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2:26">
      <c r="B13" s="19">
        <v>42745</v>
      </c>
      <c r="C13" s="20" t="str">
        <f t="shared" si="0"/>
        <v>Tue</v>
      </c>
      <c r="D13" s="31">
        <v>6</v>
      </c>
      <c r="E13" s="31">
        <v>6</v>
      </c>
      <c r="F13" s="31">
        <v>6</v>
      </c>
      <c r="G13" s="31">
        <v>6</v>
      </c>
      <c r="H13" s="31">
        <v>6</v>
      </c>
      <c r="I13" s="31">
        <v>6</v>
      </c>
      <c r="J13" s="31">
        <v>6</v>
      </c>
      <c r="K13" s="31">
        <v>6</v>
      </c>
      <c r="L13" s="31">
        <v>6</v>
      </c>
      <c r="M13" s="31">
        <v>6</v>
      </c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2:26">
      <c r="B14" s="19">
        <v>42746</v>
      </c>
      <c r="C14" s="20" t="str">
        <f t="shared" si="0"/>
        <v>Wed</v>
      </c>
      <c r="D14" s="31">
        <v>6</v>
      </c>
      <c r="E14" s="31">
        <v>6</v>
      </c>
      <c r="F14" s="31">
        <v>6</v>
      </c>
      <c r="G14" s="31">
        <v>6</v>
      </c>
      <c r="H14" s="31">
        <v>6</v>
      </c>
      <c r="I14" s="31">
        <v>6</v>
      </c>
      <c r="J14" s="31">
        <v>6</v>
      </c>
      <c r="K14" s="31">
        <v>6</v>
      </c>
      <c r="L14" s="31">
        <v>6</v>
      </c>
      <c r="M14" s="31">
        <v>6</v>
      </c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2:26">
      <c r="B15" s="19">
        <v>42747</v>
      </c>
      <c r="C15" s="20" t="str">
        <f>IF(TRIM(B15)="","",TEXT(B15,"ddd"))</f>
        <v>Thu</v>
      </c>
      <c r="D15" s="31">
        <v>6</v>
      </c>
      <c r="E15" s="31">
        <v>6</v>
      </c>
      <c r="F15" s="31">
        <v>6</v>
      </c>
      <c r="G15" s="31">
        <v>6</v>
      </c>
      <c r="H15" s="31">
        <v>6</v>
      </c>
      <c r="I15" s="31">
        <v>6</v>
      </c>
      <c r="J15" s="31">
        <v>6</v>
      </c>
      <c r="K15" s="31">
        <v>6</v>
      </c>
      <c r="L15" s="31">
        <v>6</v>
      </c>
      <c r="M15" s="31">
        <v>6</v>
      </c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2:26">
      <c r="B16" s="19">
        <v>42748</v>
      </c>
      <c r="C16" s="20" t="str">
        <f t="shared" ref="C16:C41" si="1">IF(TRIM(B16)="","",TEXT(B16,"ddd"))</f>
        <v>Fri</v>
      </c>
      <c r="D16" s="31">
        <v>6</v>
      </c>
      <c r="E16" s="31">
        <v>6</v>
      </c>
      <c r="F16" s="31">
        <v>6</v>
      </c>
      <c r="G16" s="31">
        <v>6</v>
      </c>
      <c r="H16" s="31">
        <v>6</v>
      </c>
      <c r="I16" s="31">
        <v>6</v>
      </c>
      <c r="J16" s="31">
        <v>6</v>
      </c>
      <c r="K16" s="31">
        <v>6</v>
      </c>
      <c r="L16" s="31">
        <v>6</v>
      </c>
      <c r="M16" s="31">
        <v>6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2:26">
      <c r="B17" s="19">
        <v>42749</v>
      </c>
      <c r="C17" s="20" t="str">
        <f t="shared" si="1"/>
        <v>Sat</v>
      </c>
      <c r="D17" s="31">
        <v>0</v>
      </c>
      <c r="E17" s="31">
        <v>0</v>
      </c>
      <c r="F17" s="31">
        <v>0</v>
      </c>
      <c r="G17" s="31">
        <v>0</v>
      </c>
      <c r="H17" s="31">
        <v>0</v>
      </c>
      <c r="I17" s="31">
        <v>0</v>
      </c>
      <c r="J17" s="31">
        <v>0</v>
      </c>
      <c r="K17" s="31">
        <v>0</v>
      </c>
      <c r="L17" s="31">
        <v>0</v>
      </c>
      <c r="M17" s="31">
        <v>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2:26">
      <c r="B18" s="19">
        <v>42750</v>
      </c>
      <c r="C18" s="20" t="str">
        <f t="shared" si="1"/>
        <v>Sun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31">
        <v>0</v>
      </c>
      <c r="M18" s="31">
        <v>0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2:26">
      <c r="B19" s="19">
        <v>42751</v>
      </c>
      <c r="C19" s="20" t="str">
        <f>IF(TRIM(B19)="","",TEXT(B19,"ddd"))</f>
        <v>Mon</v>
      </c>
      <c r="D19" s="31">
        <v>6</v>
      </c>
      <c r="E19" s="31">
        <v>6</v>
      </c>
      <c r="F19" s="31">
        <v>6</v>
      </c>
      <c r="G19" s="31">
        <v>6</v>
      </c>
      <c r="H19" s="31">
        <v>6</v>
      </c>
      <c r="I19" s="31">
        <v>6</v>
      </c>
      <c r="J19" s="31">
        <v>6</v>
      </c>
      <c r="K19" s="31">
        <v>6</v>
      </c>
      <c r="L19" s="31">
        <v>6</v>
      </c>
      <c r="M19" s="31">
        <v>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2:26">
      <c r="B20" s="19">
        <v>42752</v>
      </c>
      <c r="C20" s="20" t="str">
        <f t="shared" si="1"/>
        <v>Tue</v>
      </c>
      <c r="D20" s="31">
        <v>6</v>
      </c>
      <c r="E20" s="31">
        <v>6</v>
      </c>
      <c r="F20" s="31">
        <v>6</v>
      </c>
      <c r="G20" s="31">
        <v>6</v>
      </c>
      <c r="H20" s="31">
        <v>6</v>
      </c>
      <c r="I20" s="31">
        <v>6</v>
      </c>
      <c r="J20" s="31">
        <v>6</v>
      </c>
      <c r="K20" s="31">
        <v>6</v>
      </c>
      <c r="L20" s="31">
        <v>6</v>
      </c>
      <c r="M20" s="31">
        <v>6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2:26">
      <c r="B21" s="19">
        <v>42753</v>
      </c>
      <c r="C21" s="20" t="str">
        <f t="shared" si="1"/>
        <v>Wed</v>
      </c>
      <c r="D21" s="31">
        <v>6</v>
      </c>
      <c r="E21" s="31">
        <v>6</v>
      </c>
      <c r="F21" s="31">
        <v>6</v>
      </c>
      <c r="G21" s="31">
        <v>6</v>
      </c>
      <c r="H21" s="31">
        <v>6</v>
      </c>
      <c r="I21" s="31">
        <v>6</v>
      </c>
      <c r="J21" s="31">
        <v>6</v>
      </c>
      <c r="K21" s="31">
        <v>6</v>
      </c>
      <c r="L21" s="31">
        <v>6</v>
      </c>
      <c r="M21" s="31">
        <v>6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2:26">
      <c r="B22" s="19">
        <v>42754</v>
      </c>
      <c r="C22" s="20" t="str">
        <f t="shared" si="1"/>
        <v>Thu</v>
      </c>
      <c r="D22" s="31">
        <v>6</v>
      </c>
      <c r="E22" s="31">
        <v>6</v>
      </c>
      <c r="F22" s="31">
        <v>6</v>
      </c>
      <c r="G22" s="31">
        <v>6</v>
      </c>
      <c r="H22" s="31">
        <v>6</v>
      </c>
      <c r="I22" s="31">
        <v>6</v>
      </c>
      <c r="J22" s="31">
        <v>6</v>
      </c>
      <c r="K22" s="31">
        <v>6</v>
      </c>
      <c r="L22" s="31">
        <v>6</v>
      </c>
      <c r="M22" s="31">
        <v>6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2:26">
      <c r="B23" s="19">
        <v>42755</v>
      </c>
      <c r="C23" s="20" t="str">
        <f t="shared" si="1"/>
        <v>Fri</v>
      </c>
      <c r="D23" s="31">
        <v>6</v>
      </c>
      <c r="E23" s="31">
        <v>6</v>
      </c>
      <c r="F23" s="31">
        <v>6</v>
      </c>
      <c r="G23" s="31">
        <v>6</v>
      </c>
      <c r="H23" s="31">
        <v>6</v>
      </c>
      <c r="I23" s="31">
        <v>6</v>
      </c>
      <c r="J23" s="31">
        <v>6</v>
      </c>
      <c r="K23" s="31">
        <v>6</v>
      </c>
      <c r="L23" s="31">
        <v>6</v>
      </c>
      <c r="M23" s="31">
        <v>6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2:26">
      <c r="B24" s="19">
        <v>42756</v>
      </c>
      <c r="C24" s="20" t="str">
        <f t="shared" si="1"/>
        <v>Sat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31">
        <v>0</v>
      </c>
      <c r="M24" s="31">
        <v>0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2:26">
      <c r="B25" s="19">
        <v>42757</v>
      </c>
      <c r="C25" s="20" t="str">
        <f t="shared" si="1"/>
        <v>Sun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2:26">
      <c r="B26" s="19">
        <v>42758</v>
      </c>
      <c r="C26" s="20" t="str">
        <f t="shared" si="1"/>
        <v>Mon</v>
      </c>
      <c r="D26" s="31">
        <v>6</v>
      </c>
      <c r="E26" s="31">
        <v>6</v>
      </c>
      <c r="F26" s="31">
        <v>6</v>
      </c>
      <c r="G26" s="31">
        <v>6</v>
      </c>
      <c r="H26" s="31">
        <v>6</v>
      </c>
      <c r="I26" s="31">
        <v>6</v>
      </c>
      <c r="J26" s="31">
        <v>6</v>
      </c>
      <c r="K26" s="31">
        <v>6</v>
      </c>
      <c r="L26" s="31">
        <v>6</v>
      </c>
      <c r="M26" s="31">
        <v>6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2:26">
      <c r="B27" s="19">
        <v>42759</v>
      </c>
      <c r="C27" s="20" t="str">
        <f t="shared" si="1"/>
        <v>Tue</v>
      </c>
      <c r="D27" s="31">
        <v>6</v>
      </c>
      <c r="E27" s="31">
        <v>6</v>
      </c>
      <c r="F27" s="31">
        <v>6</v>
      </c>
      <c r="G27" s="31">
        <v>6</v>
      </c>
      <c r="H27" s="31">
        <v>6</v>
      </c>
      <c r="I27" s="31">
        <v>6</v>
      </c>
      <c r="J27" s="31">
        <v>6</v>
      </c>
      <c r="K27" s="31">
        <v>6</v>
      </c>
      <c r="L27" s="31">
        <v>6</v>
      </c>
      <c r="M27" s="31">
        <v>6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2:26">
      <c r="B28" s="21"/>
      <c r="C28" s="22" t="str">
        <f t="shared" si="1"/>
        <v/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2:26">
      <c r="B29" s="21"/>
      <c r="C29" s="22" t="str">
        <f t="shared" si="1"/>
        <v/>
      </c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2:26">
      <c r="B30" s="21"/>
      <c r="C30" s="22" t="str">
        <f t="shared" si="1"/>
        <v/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2:26">
      <c r="B31" s="21"/>
      <c r="C31" s="22" t="str">
        <f t="shared" si="1"/>
        <v/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2:26">
      <c r="B32" s="21"/>
      <c r="C32" s="22" t="str">
        <f t="shared" si="1"/>
        <v/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2:26">
      <c r="B33" s="21"/>
      <c r="C33" s="22" t="str">
        <f t="shared" si="1"/>
        <v/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2:26">
      <c r="B34" s="21"/>
      <c r="C34" s="22" t="str">
        <f t="shared" si="1"/>
        <v/>
      </c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2:26">
      <c r="B35" s="21"/>
      <c r="C35" s="22" t="str">
        <f t="shared" si="1"/>
        <v/>
      </c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2:26">
      <c r="B36" s="21"/>
      <c r="C36" s="22" t="str">
        <f t="shared" si="1"/>
        <v/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2:26">
      <c r="B37" s="21"/>
      <c r="C37" s="22" t="str">
        <f t="shared" si="1"/>
        <v/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2:26">
      <c r="B38" s="21"/>
      <c r="C38" s="22" t="str">
        <f t="shared" si="1"/>
        <v/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2:26">
      <c r="B39" s="21"/>
      <c r="C39" s="22" t="str">
        <f t="shared" si="1"/>
        <v/>
      </c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2:26">
      <c r="B40" s="21"/>
      <c r="C40" s="22" t="str">
        <f t="shared" si="1"/>
        <v/>
      </c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2:26">
      <c r="B41" s="21"/>
      <c r="C41" s="22" t="str">
        <f t="shared" si="1"/>
        <v/>
      </c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2:26">
      <c r="B42" s="21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2:26">
      <c r="B43" s="32"/>
    </row>
    <row r="44" spans="2:26">
      <c r="B44" s="32"/>
    </row>
    <row r="45" spans="2:26">
      <c r="B45" s="32"/>
    </row>
    <row r="46" spans="2:26">
      <c r="B46" s="32"/>
    </row>
    <row r="47" spans="2:26">
      <c r="B47" s="32"/>
    </row>
    <row r="48" spans="2:26">
      <c r="B48" s="32"/>
    </row>
    <row r="49" spans="2:2">
      <c r="B49" s="32"/>
    </row>
    <row r="50" spans="2:2">
      <c r="B50" s="32"/>
    </row>
    <row r="51" spans="2:2">
      <c r="B51" s="32"/>
    </row>
    <row r="52" spans="2:2">
      <c r="B52" s="32"/>
    </row>
    <row r="53" spans="2:2">
      <c r="B53" s="32"/>
    </row>
    <row r="54" spans="2:2">
      <c r="B54" s="32"/>
    </row>
    <row r="55" spans="2:2">
      <c r="B55" s="32"/>
    </row>
    <row r="56" spans="2:2">
      <c r="B56" s="32"/>
    </row>
    <row r="57" spans="2:2">
      <c r="B57" s="32"/>
    </row>
    <row r="58" spans="2:2">
      <c r="B58" s="32"/>
    </row>
    <row r="59" spans="2:2">
      <c r="B59" s="32"/>
    </row>
    <row r="60" spans="2:2">
      <c r="B60" s="32"/>
    </row>
    <row r="61" spans="2:2">
      <c r="B61" s="32"/>
    </row>
    <row r="62" spans="2:2">
      <c r="B62" s="32"/>
    </row>
    <row r="63" spans="2:2">
      <c r="B63" s="32"/>
    </row>
    <row r="64" spans="2:2">
      <c r="B64" s="32"/>
    </row>
    <row r="65" spans="2:2">
      <c r="B65" s="32"/>
    </row>
    <row r="66" spans="2:2">
      <c r="B66" s="32"/>
    </row>
    <row r="67" spans="2:2">
      <c r="B67" s="32"/>
    </row>
    <row r="68" spans="2:2">
      <c r="B68" s="32"/>
    </row>
    <row r="69" spans="2:2">
      <c r="B69" s="32"/>
    </row>
    <row r="70" spans="2:2">
      <c r="B70" s="32"/>
    </row>
    <row r="71" spans="2:2">
      <c r="B71" s="32"/>
    </row>
    <row r="72" spans="2:2">
      <c r="B72" s="32"/>
    </row>
    <row r="73" spans="2:2">
      <c r="B73" s="32"/>
    </row>
    <row r="74" spans="2:2">
      <c r="B74" s="32"/>
    </row>
    <row r="75" spans="2:2">
      <c r="B75" s="32"/>
    </row>
    <row r="76" spans="2:2">
      <c r="B76" s="32"/>
    </row>
    <row r="77" spans="2:2">
      <c r="B77" s="32"/>
    </row>
    <row r="78" spans="2:2">
      <c r="B78" s="32"/>
    </row>
    <row r="79" spans="2:2">
      <c r="B79" s="32"/>
    </row>
    <row r="80" spans="2:2">
      <c r="B80" s="32"/>
    </row>
    <row r="81" spans="2:2">
      <c r="B81" s="32"/>
    </row>
    <row r="82" spans="2:2">
      <c r="B82" s="32"/>
    </row>
    <row r="83" spans="2:2">
      <c r="B83" s="32"/>
    </row>
    <row r="84" spans="2:2">
      <c r="B84" s="32"/>
    </row>
    <row r="85" spans="2:2">
      <c r="B85" s="32"/>
    </row>
    <row r="86" spans="2:2">
      <c r="B86" s="32"/>
    </row>
    <row r="87" spans="2:2">
      <c r="B87" s="32"/>
    </row>
    <row r="88" spans="2:2">
      <c r="B88" s="32"/>
    </row>
    <row r="89" spans="2:2">
      <c r="B89" s="32"/>
    </row>
    <row r="90" spans="2:2">
      <c r="B90" s="32"/>
    </row>
    <row r="91" spans="2:2">
      <c r="B91" s="32"/>
    </row>
    <row r="92" spans="2:2">
      <c r="B92" s="32"/>
    </row>
    <row r="93" spans="2:2">
      <c r="B93" s="32"/>
    </row>
    <row r="94" spans="2:2">
      <c r="B94" s="32"/>
    </row>
    <row r="95" spans="2:2">
      <c r="B95" s="32"/>
    </row>
    <row r="96" spans="2:2">
      <c r="B96" s="32"/>
    </row>
    <row r="97" spans="2:2">
      <c r="B97" s="32"/>
    </row>
    <row r="98" spans="2:2">
      <c r="B98" s="32"/>
    </row>
    <row r="99" spans="2:2">
      <c r="B99" s="32"/>
    </row>
    <row r="100" spans="2:2">
      <c r="B100" s="32"/>
    </row>
    <row r="101" spans="2:2">
      <c r="B101" s="32"/>
    </row>
    <row r="102" spans="2:2">
      <c r="B102" s="32"/>
    </row>
    <row r="103" spans="2:2">
      <c r="B103" s="32"/>
    </row>
    <row r="104" spans="2:2">
      <c r="B104" s="32"/>
    </row>
    <row r="105" spans="2:2">
      <c r="B105" s="32"/>
    </row>
    <row r="106" spans="2:2">
      <c r="B106" s="32"/>
    </row>
    <row r="107" spans="2:2">
      <c r="B107" s="32"/>
    </row>
    <row r="108" spans="2:2">
      <c r="B108" s="32"/>
    </row>
    <row r="109" spans="2:2">
      <c r="B109" s="32"/>
    </row>
    <row r="110" spans="2:2">
      <c r="B110" s="32"/>
    </row>
    <row r="111" spans="2:2">
      <c r="B111" s="32"/>
    </row>
    <row r="112" spans="2:2">
      <c r="B112" s="32"/>
    </row>
    <row r="113" spans="2:2">
      <c r="B113" s="32"/>
    </row>
    <row r="114" spans="2:2">
      <c r="B114" s="32"/>
    </row>
    <row r="115" spans="2:2">
      <c r="B115" s="32"/>
    </row>
    <row r="116" spans="2:2">
      <c r="B116" s="32"/>
    </row>
    <row r="117" spans="2:2">
      <c r="B117" s="32"/>
    </row>
    <row r="118" spans="2:2">
      <c r="B118" s="32"/>
    </row>
    <row r="119" spans="2:2">
      <c r="B119" s="32"/>
    </row>
    <row r="120" spans="2:2">
      <c r="B120" s="32"/>
    </row>
  </sheetData>
  <sheetProtection selectLockedCells="1"/>
  <mergeCells count="1">
    <mergeCell ref="B1:B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30"/>
  <sheetViews>
    <sheetView workbookViewId="0">
      <selection activeCell="H31" sqref="H31"/>
    </sheetView>
  </sheetViews>
  <sheetFormatPr defaultColWidth="8.85546875" defaultRowHeight="15"/>
  <cols>
    <col min="1" max="1" width="8.85546875" style="11"/>
    <col min="2" max="2" width="11.42578125" style="11" bestFit="1" customWidth="1"/>
    <col min="3" max="4" width="8.85546875" style="11"/>
    <col min="5" max="5" width="10.140625" style="11" bestFit="1" customWidth="1"/>
    <col min="6" max="6" width="10.85546875" style="11" bestFit="1" customWidth="1"/>
    <col min="7" max="7" width="8.85546875" style="11"/>
    <col min="8" max="8" width="15.42578125" style="11" bestFit="1" customWidth="1"/>
    <col min="9" max="16384" width="8.85546875" style="11"/>
  </cols>
  <sheetData>
    <row r="1" spans="2:8" ht="15.75" thickBot="1"/>
    <row r="2" spans="2:8" ht="15.75" thickBot="1">
      <c r="B2" s="15" t="s">
        <v>31</v>
      </c>
      <c r="C2" s="16" t="s">
        <v>32</v>
      </c>
      <c r="D2" s="16" t="s">
        <v>33</v>
      </c>
      <c r="E2" s="16" t="s">
        <v>24</v>
      </c>
      <c r="F2" s="16" t="s">
        <v>34</v>
      </c>
      <c r="G2" s="16" t="s">
        <v>35</v>
      </c>
      <c r="H2" s="14" t="s">
        <v>37</v>
      </c>
    </row>
    <row r="3" spans="2:8">
      <c r="B3" s="12"/>
      <c r="C3" s="12"/>
      <c r="D3" s="12"/>
      <c r="E3" s="12"/>
      <c r="F3" s="12"/>
      <c r="G3" s="12"/>
      <c r="H3" s="10" t="str">
        <f>IF(AND(E3&lt;&gt;"",G3&lt;&gt;""),E3/G3,"")</f>
        <v/>
      </c>
    </row>
    <row r="4" spans="2:8">
      <c r="B4" s="13"/>
      <c r="C4" s="13"/>
      <c r="D4" s="13"/>
      <c r="E4" s="13"/>
      <c r="F4" s="13"/>
      <c r="G4" s="13"/>
      <c r="H4" s="10" t="str">
        <f>IF(AND(E4&lt;&gt;"",G4&lt;&gt;""),E4/G4,"")</f>
        <v/>
      </c>
    </row>
    <row r="5" spans="2:8">
      <c r="B5" s="13"/>
      <c r="C5" s="13"/>
      <c r="D5" s="13"/>
      <c r="E5" s="13"/>
      <c r="F5" s="13"/>
      <c r="G5" s="13"/>
      <c r="H5" s="10" t="str">
        <f t="shared" ref="H5:H30" si="0">IF(AND(E5&lt;&gt;"",G5&lt;&gt;""),E5/G5,"")</f>
        <v/>
      </c>
    </row>
    <row r="6" spans="2:8">
      <c r="B6" s="13"/>
      <c r="C6" s="13"/>
      <c r="D6" s="13"/>
      <c r="E6" s="13"/>
      <c r="F6" s="13"/>
      <c r="G6" s="13"/>
      <c r="H6" s="10" t="str">
        <f t="shared" si="0"/>
        <v/>
      </c>
    </row>
    <row r="7" spans="2:8">
      <c r="B7" s="13"/>
      <c r="C7" s="13"/>
      <c r="D7" s="13"/>
      <c r="E7" s="13"/>
      <c r="F7" s="13"/>
      <c r="G7" s="13"/>
      <c r="H7" s="10" t="str">
        <f t="shared" si="0"/>
        <v/>
      </c>
    </row>
    <row r="8" spans="2:8">
      <c r="B8" s="13"/>
      <c r="C8" s="13"/>
      <c r="D8" s="13"/>
      <c r="E8" s="13"/>
      <c r="F8" s="13"/>
      <c r="G8" s="13"/>
      <c r="H8" s="10" t="str">
        <f t="shared" si="0"/>
        <v/>
      </c>
    </row>
    <row r="9" spans="2:8">
      <c r="B9" s="13"/>
      <c r="C9" s="13"/>
      <c r="D9" s="13"/>
      <c r="E9" s="13"/>
      <c r="F9" s="13"/>
      <c r="G9" s="13"/>
      <c r="H9" s="10" t="str">
        <f t="shared" si="0"/>
        <v/>
      </c>
    </row>
    <row r="10" spans="2:8">
      <c r="B10" s="13"/>
      <c r="C10" s="13"/>
      <c r="D10" s="13"/>
      <c r="E10" s="13"/>
      <c r="F10" s="13"/>
      <c r="G10" s="13"/>
      <c r="H10" s="10" t="str">
        <f t="shared" si="0"/>
        <v/>
      </c>
    </row>
    <row r="11" spans="2:8">
      <c r="B11" s="13"/>
      <c r="C11" s="13"/>
      <c r="D11" s="13"/>
      <c r="E11" s="13"/>
      <c r="F11" s="13"/>
      <c r="G11" s="13"/>
      <c r="H11" s="10" t="str">
        <f t="shared" si="0"/>
        <v/>
      </c>
    </row>
    <row r="12" spans="2:8">
      <c r="B12" s="13"/>
      <c r="C12" s="13"/>
      <c r="D12" s="13"/>
      <c r="E12" s="13"/>
      <c r="F12" s="13"/>
      <c r="G12" s="13"/>
      <c r="H12" s="10" t="str">
        <f t="shared" si="0"/>
        <v/>
      </c>
    </row>
    <row r="13" spans="2:8">
      <c r="B13" s="13"/>
      <c r="C13" s="13"/>
      <c r="D13" s="13"/>
      <c r="E13" s="13"/>
      <c r="F13" s="13"/>
      <c r="G13" s="13"/>
      <c r="H13" s="10" t="str">
        <f t="shared" si="0"/>
        <v/>
      </c>
    </row>
    <row r="14" spans="2:8">
      <c r="B14" s="13"/>
      <c r="C14" s="13"/>
      <c r="D14" s="13"/>
      <c r="E14" s="13"/>
      <c r="F14" s="13"/>
      <c r="G14" s="13"/>
      <c r="H14" s="10" t="str">
        <f t="shared" si="0"/>
        <v/>
      </c>
    </row>
    <row r="15" spans="2:8">
      <c r="B15" s="13"/>
      <c r="C15" s="13"/>
      <c r="D15" s="13"/>
      <c r="E15" s="13"/>
      <c r="F15" s="13"/>
      <c r="G15" s="13"/>
      <c r="H15" s="10" t="str">
        <f t="shared" si="0"/>
        <v/>
      </c>
    </row>
    <row r="16" spans="2:8">
      <c r="B16" s="13"/>
      <c r="C16" s="13"/>
      <c r="D16" s="13"/>
      <c r="E16" s="13"/>
      <c r="F16" s="13"/>
      <c r="G16" s="13"/>
      <c r="H16" s="10" t="str">
        <f t="shared" si="0"/>
        <v/>
      </c>
    </row>
    <row r="17" spans="2:8">
      <c r="B17" s="13"/>
      <c r="C17" s="13"/>
      <c r="D17" s="13"/>
      <c r="E17" s="13"/>
      <c r="F17" s="13"/>
      <c r="G17" s="13"/>
      <c r="H17" s="10" t="str">
        <f t="shared" si="0"/>
        <v/>
      </c>
    </row>
    <row r="18" spans="2:8">
      <c r="B18" s="13"/>
      <c r="C18" s="13"/>
      <c r="D18" s="13"/>
      <c r="E18" s="13"/>
      <c r="F18" s="13"/>
      <c r="G18" s="13"/>
      <c r="H18" s="10" t="str">
        <f t="shared" si="0"/>
        <v/>
      </c>
    </row>
    <row r="19" spans="2:8">
      <c r="B19" s="13"/>
      <c r="C19" s="13"/>
      <c r="D19" s="13"/>
      <c r="E19" s="13"/>
      <c r="F19" s="13"/>
      <c r="G19" s="13"/>
      <c r="H19" s="10" t="str">
        <f t="shared" si="0"/>
        <v/>
      </c>
    </row>
    <row r="20" spans="2:8">
      <c r="B20" s="13"/>
      <c r="C20" s="13"/>
      <c r="D20" s="13"/>
      <c r="E20" s="13"/>
      <c r="F20" s="13"/>
      <c r="G20" s="13"/>
      <c r="H20" s="10" t="str">
        <f t="shared" si="0"/>
        <v/>
      </c>
    </row>
    <row r="21" spans="2:8">
      <c r="B21" s="13"/>
      <c r="C21" s="13"/>
      <c r="D21" s="13"/>
      <c r="E21" s="13"/>
      <c r="F21" s="13"/>
      <c r="G21" s="13"/>
      <c r="H21" s="10" t="str">
        <f t="shared" si="0"/>
        <v/>
      </c>
    </row>
    <row r="22" spans="2:8">
      <c r="B22" s="13"/>
      <c r="C22" s="13"/>
      <c r="D22" s="13"/>
      <c r="E22" s="13"/>
      <c r="F22" s="13"/>
      <c r="G22" s="13"/>
      <c r="H22" s="10" t="str">
        <f>IF(AND(E22&lt;&gt;"",G22&lt;&gt;""),E22/G22,"")</f>
        <v/>
      </c>
    </row>
    <row r="23" spans="2:8">
      <c r="B23" s="13"/>
      <c r="C23" s="13"/>
      <c r="D23" s="13"/>
      <c r="E23" s="13"/>
      <c r="F23" s="13"/>
      <c r="G23" s="13"/>
      <c r="H23" s="10" t="str">
        <f t="shared" si="0"/>
        <v/>
      </c>
    </row>
    <row r="24" spans="2:8">
      <c r="B24" s="13"/>
      <c r="C24" s="13"/>
      <c r="D24" s="13"/>
      <c r="E24" s="13"/>
      <c r="F24" s="13"/>
      <c r="G24" s="13"/>
      <c r="H24" s="10" t="str">
        <f>IF(AND(E24&lt;&gt;"",G24&lt;&gt;""),E24/G24,"")</f>
        <v/>
      </c>
    </row>
    <row r="25" spans="2:8">
      <c r="B25" s="13"/>
      <c r="C25" s="13"/>
      <c r="D25" s="13"/>
      <c r="E25" s="13"/>
      <c r="F25" s="13"/>
      <c r="G25" s="13"/>
      <c r="H25" s="10" t="str">
        <f t="shared" si="0"/>
        <v/>
      </c>
    </row>
    <row r="26" spans="2:8">
      <c r="B26" s="13"/>
      <c r="C26" s="13"/>
      <c r="D26" s="13"/>
      <c r="E26" s="13"/>
      <c r="F26" s="13"/>
      <c r="G26" s="13"/>
      <c r="H26" s="10" t="str">
        <f t="shared" si="0"/>
        <v/>
      </c>
    </row>
    <row r="27" spans="2:8">
      <c r="B27" s="13"/>
      <c r="C27" s="13"/>
      <c r="D27" s="13"/>
      <c r="E27" s="13"/>
      <c r="F27" s="13"/>
      <c r="G27" s="13"/>
      <c r="H27" s="10" t="str">
        <f t="shared" si="0"/>
        <v/>
      </c>
    </row>
    <row r="28" spans="2:8">
      <c r="B28" s="13"/>
      <c r="C28" s="13"/>
      <c r="D28" s="13"/>
      <c r="E28" s="13"/>
      <c r="F28" s="13"/>
      <c r="G28" s="13"/>
      <c r="H28" s="10" t="str">
        <f t="shared" si="0"/>
        <v/>
      </c>
    </row>
    <row r="29" spans="2:8">
      <c r="B29" s="13"/>
      <c r="C29" s="13"/>
      <c r="D29" s="13"/>
      <c r="E29" s="13"/>
      <c r="F29" s="13"/>
      <c r="G29" s="13"/>
      <c r="H29" s="10" t="str">
        <f t="shared" si="0"/>
        <v/>
      </c>
    </row>
    <row r="30" spans="2:8">
      <c r="B30" s="13"/>
      <c r="C30" s="13"/>
      <c r="D30" s="13"/>
      <c r="E30" s="13"/>
      <c r="F30" s="13"/>
      <c r="G30" s="13"/>
      <c r="H30" s="10" t="str">
        <f t="shared" si="0"/>
        <v/>
      </c>
    </row>
  </sheetData>
  <sheetProtection algorithmName="SHA-512" hashValue="ykUHem87e3eG7LOZUwd32H3PJfC8NroyDGN3URQAqHde/HGkCt5whR7FGotsujvoDM7lij2/3We72SW0toYYkQ==" saltValue="KSrx9eYsJRS+HuFr/wV+yg==" spinCount="100000" sheet="1" objects="1" scenarios="1" select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Capacity</vt:lpstr>
      <vt:lpstr>Past Sprints</vt:lpstr>
    </vt:vector>
  </TitlesOfParts>
  <Company>ADP Dealer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Stefania</dc:creator>
  <cp:lastModifiedBy>Stefania</cp:lastModifiedBy>
  <dcterms:created xsi:type="dcterms:W3CDTF">2017-04-09T12:00:55Z</dcterms:created>
  <dcterms:modified xsi:type="dcterms:W3CDTF">2018-02-07T07:53:01Z</dcterms:modified>
</cp:coreProperties>
</file>